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ente de Calidad\Downloads\"/>
    </mc:Choice>
  </mc:AlternateContent>
  <xr:revisionPtr revIDLastSave="0" documentId="13_ncr:1_{B2751DA1-3E4F-46A8-A0B4-82B7EC762BEF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Menu" sheetId="2" state="hidden" r:id="rId1"/>
    <sheet name="Cotización" sheetId="9" r:id="rId2"/>
    <sheet name="Simulador VC" sheetId="7" r:id="rId3"/>
    <sheet name="Simulador VV" sheetId="8" r:id="rId4"/>
    <sheet name="Datos " sheetId="4" r:id="rId5"/>
  </sheets>
  <definedNames>
    <definedName name="_xlnm.Print_Area" localSheetId="1">Cotización!$A$1:$J$63</definedName>
    <definedName name="Tax_Rate">#REF!</definedName>
  </definedNames>
  <calcPr calcId="191029"/>
</workbook>
</file>

<file path=xl/calcChain.xml><?xml version="1.0" encoding="utf-8"?>
<calcChain xmlns="http://schemas.openxmlformats.org/spreadsheetml/2006/main">
  <c r="H9" i="9" l="1"/>
  <c r="H4" i="7"/>
  <c r="H25" i="9"/>
  <c r="L2" i="7"/>
  <c r="J2" i="8"/>
  <c r="D2" i="8"/>
  <c r="E2" i="8" s="1"/>
  <c r="E3" i="8" l="1"/>
  <c r="F3" i="8" l="1"/>
  <c r="G3" i="8"/>
  <c r="G2" i="8"/>
  <c r="F2" i="8"/>
  <c r="G40" i="9" l="1"/>
  <c r="G38" i="9"/>
  <c r="H26" i="9"/>
  <c r="H27" i="9"/>
  <c r="H28" i="9"/>
  <c r="H29" i="9"/>
  <c r="G33" i="9"/>
  <c r="G36" i="9" s="1"/>
  <c r="H31" i="9"/>
  <c r="H30" i="9"/>
  <c r="E4" i="7"/>
  <c r="F4" i="7" s="1"/>
  <c r="G37" i="9" l="1"/>
  <c r="F6" i="7"/>
  <c r="F5" i="7"/>
  <c r="F7" i="7"/>
  <c r="G39" i="9"/>
  <c r="H33" i="9"/>
  <c r="H7" i="7" l="1"/>
  <c r="G7" i="7"/>
  <c r="G4" i="7"/>
  <c r="H5" i="7"/>
  <c r="G5" i="7"/>
  <c r="H6" i="7"/>
  <c r="G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Axl González</author>
    <author>Alejandra Maldonado</author>
  </authors>
  <commentList>
    <comment ref="H10" authorId="0" shapeId="0" xr:uid="{4A5FBE92-5720-470B-AEA4-2E070F40904E}">
      <text>
        <r>
          <rPr>
            <b/>
            <sz val="9"/>
            <color indexed="81"/>
            <rFont val="Tahoma"/>
            <family val="2"/>
          </rPr>
          <t>Axl González:</t>
        </r>
        <r>
          <rPr>
            <sz val="9"/>
            <color indexed="81"/>
            <rFont val="Tahoma"/>
            <family val="2"/>
          </rPr>
          <t xml:space="preserve">
Inserta el nombre del vendedor que entrega el presupuesto</t>
        </r>
      </text>
    </comment>
    <comment ref="G19" authorId="1" shapeId="0" xr:uid="{076F7B34-855E-4D77-A304-4723EADCC838}">
      <text>
        <r>
          <rPr>
            <b/>
            <sz val="9"/>
            <color indexed="81"/>
            <rFont val="Tahoma"/>
            <family val="2"/>
          </rPr>
          <t>Alejandra Maldonado: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Axl González</author>
  </authors>
  <commentList>
    <comment ref="C4" authorId="0" shapeId="0" xr:uid="{44086AD5-2A01-4D9E-9C4D-BE495F75A5CF}">
      <text>
        <r>
          <rPr>
            <b/>
            <sz val="9"/>
            <color indexed="81"/>
            <rFont val="Tahoma"/>
            <family val="2"/>
          </rPr>
          <t>Axl González:</t>
        </r>
        <r>
          <rPr>
            <sz val="9"/>
            <color indexed="81"/>
            <rFont val="Tahoma"/>
            <family val="2"/>
          </rPr>
          <t xml:space="preserve">
Ingresa aquí el precio actual de la moto a cotizar</t>
        </r>
      </text>
    </comment>
    <comment ref="D4" authorId="0" shapeId="0" xr:uid="{781D3E76-19CE-4432-A349-8563710831A3}">
      <text>
        <r>
          <rPr>
            <b/>
            <sz val="9"/>
            <color indexed="81"/>
            <rFont val="Tahoma"/>
            <family val="2"/>
          </rPr>
          <t>Axl González:</t>
        </r>
        <r>
          <rPr>
            <sz val="9"/>
            <color indexed="81"/>
            <rFont val="Tahoma"/>
            <family val="2"/>
          </rPr>
          <t xml:space="preserve">
Ingresa aquí el monto del enganche con el que el cliente desea cotizar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Axl González</author>
  </authors>
  <commentList>
    <comment ref="B2" authorId="0" shapeId="0" xr:uid="{36E73FD5-CDDE-4AF2-AD62-393B26D0363B}">
      <text>
        <r>
          <rPr>
            <b/>
            <sz val="9"/>
            <color indexed="81"/>
            <rFont val="Tahoma"/>
            <family val="2"/>
          </rPr>
          <t>Axl González:</t>
        </r>
        <r>
          <rPr>
            <sz val="9"/>
            <color indexed="81"/>
            <rFont val="Tahoma"/>
            <family val="2"/>
          </rPr>
          <t xml:space="preserve">
Ingresa aquí el precio actual de la moto a cotizar</t>
        </r>
      </text>
    </comment>
    <comment ref="C2" authorId="0" shapeId="0" xr:uid="{5EA946C4-4C4F-482B-8591-EEA2B97CAE7C}">
      <text>
        <r>
          <rPr>
            <b/>
            <sz val="9"/>
            <color indexed="81"/>
            <rFont val="Tahoma"/>
            <family val="2"/>
          </rPr>
          <t>Axl González:</t>
        </r>
        <r>
          <rPr>
            <sz val="9"/>
            <color indexed="81"/>
            <rFont val="Tahoma"/>
            <family val="2"/>
          </rPr>
          <t xml:space="preserve">
Ingresa aquí el monto del enganche con el que el cliente desea cotizar</t>
        </r>
      </text>
    </comment>
  </commentList>
</comments>
</file>

<file path=xl/sharedStrings.xml><?xml version="1.0" encoding="utf-8"?>
<sst xmlns="http://schemas.openxmlformats.org/spreadsheetml/2006/main" count="118" uniqueCount="90">
  <si>
    <t>Fecha</t>
  </si>
  <si>
    <t>Presupuesto para</t>
  </si>
  <si>
    <t>Vendedor :</t>
  </si>
  <si>
    <t>Comentarios o Instrucciones Especiales:</t>
  </si>
  <si>
    <t>Vendedor</t>
  </si>
  <si>
    <t xml:space="preserve">Foma de Pago </t>
  </si>
  <si>
    <t>Cantidad</t>
  </si>
  <si>
    <t xml:space="preserve">Categoria </t>
  </si>
  <si>
    <t>Descripción</t>
  </si>
  <si>
    <t xml:space="preserve">Descuento </t>
  </si>
  <si>
    <t>Importe</t>
  </si>
  <si>
    <t xml:space="preserve">Kit de Herramientas </t>
  </si>
  <si>
    <t>Casco para Motociclista retro</t>
  </si>
  <si>
    <t xml:space="preserve">Total </t>
  </si>
  <si>
    <t>Total de Ahorro</t>
  </si>
  <si>
    <t>Subtotal</t>
  </si>
  <si>
    <t xml:space="preserve">Si tiene alguna duda sobre este presupuesto, póngase en contacto con: </t>
  </si>
  <si>
    <t>IVA</t>
  </si>
  <si>
    <t>TOTAL COSTO DE MOTO</t>
  </si>
  <si>
    <t xml:space="preserve">Gracias por su Preferencia </t>
  </si>
  <si>
    <t>crossmax 200</t>
  </si>
  <si>
    <t>'crossmax 200</t>
  </si>
  <si>
    <t xml:space="preserve">Agentes </t>
  </si>
  <si>
    <t xml:space="preserve">Cantidad </t>
  </si>
  <si>
    <t xml:space="preserve">Modelo </t>
  </si>
  <si>
    <t xml:space="preserve">Forma de Pago </t>
  </si>
  <si>
    <t>Pago con TDC MSI</t>
  </si>
  <si>
    <t>Casco para Motociclista HAX</t>
  </si>
  <si>
    <t xml:space="preserve">Pago de Contado TDD </t>
  </si>
  <si>
    <t xml:space="preserve">Financiamiento </t>
  </si>
  <si>
    <t xml:space="preserve">Envio a Domicilio </t>
  </si>
  <si>
    <t xml:space="preserve">Deposito </t>
  </si>
  <si>
    <t xml:space="preserve">Transferencia Bancaria </t>
  </si>
  <si>
    <t>URBAN SPORT</t>
  </si>
  <si>
    <t xml:space="preserve">DOBLE PROPOSITO </t>
  </si>
  <si>
    <t xml:space="preserve">Permiso Vehicular </t>
  </si>
  <si>
    <t>Garantia extendida de 36  meses o 33,000km</t>
  </si>
  <si>
    <t>Portacasco</t>
  </si>
  <si>
    <t>VENTO POWERSPORTS, S.A.</t>
  </si>
  <si>
    <t>Plazo</t>
  </si>
  <si>
    <t>Enganche</t>
  </si>
  <si>
    <t>3 Meses</t>
  </si>
  <si>
    <t>6 Meses</t>
  </si>
  <si>
    <t>9 Meses</t>
  </si>
  <si>
    <t>12 Meses</t>
  </si>
  <si>
    <t>52 Semanas</t>
  </si>
  <si>
    <t>104 Semanas</t>
  </si>
  <si>
    <t>1 Exhibición</t>
  </si>
  <si>
    <t>Segmento</t>
  </si>
  <si>
    <t>MOTONETAS</t>
  </si>
  <si>
    <t>ADVENTURE</t>
  </si>
  <si>
    <t>CIUDAD</t>
  </si>
  <si>
    <t>REBELDES</t>
  </si>
  <si>
    <t>TRABAJO</t>
  </si>
  <si>
    <t>CUATRIMOTOS</t>
  </si>
  <si>
    <t>REGALO</t>
  </si>
  <si>
    <t>EXTRAS</t>
  </si>
  <si>
    <t>Nombre del asesor</t>
  </si>
  <si>
    <t>Numero del asesor</t>
  </si>
  <si>
    <t>Total a pagar</t>
  </si>
  <si>
    <t>Firma de Aceptacion Cliente</t>
  </si>
  <si>
    <t>Precio de lista</t>
  </si>
  <si>
    <t xml:space="preserve">Dirección de la Agencia </t>
  </si>
  <si>
    <t>Enganche / Pago Mixto</t>
  </si>
  <si>
    <t>Presupuesto válido hasta:</t>
  </si>
  <si>
    <t>Medio de contacto :</t>
  </si>
  <si>
    <t>Intereses</t>
  </si>
  <si>
    <t>Pago mensual</t>
  </si>
  <si>
    <t>Precio</t>
  </si>
  <si>
    <t>Monto a financiar</t>
  </si>
  <si>
    <t>Pago semanal</t>
  </si>
  <si>
    <t>52 semanas</t>
  </si>
  <si>
    <t>104 semanas</t>
  </si>
  <si>
    <t>Solo ingresar manualmente precio y enganche</t>
  </si>
  <si>
    <t>Nombre de la agencia</t>
  </si>
  <si>
    <t>---</t>
  </si>
  <si>
    <t>18 Meses</t>
  </si>
  <si>
    <t>24 Meses</t>
  </si>
  <si>
    <t>26 semanas</t>
  </si>
  <si>
    <t>78 semanas</t>
  </si>
  <si>
    <t>Mixto</t>
  </si>
  <si>
    <t>Tasa Anual</t>
  </si>
  <si>
    <t>Tasa semanal</t>
  </si>
  <si>
    <t>Pago Semanal</t>
  </si>
  <si>
    <t>Alejandra Maldonado</t>
  </si>
  <si>
    <t>ROQUE</t>
  </si>
  <si>
    <t>Miguel</t>
  </si>
  <si>
    <t>HYPER 310</t>
  </si>
  <si>
    <t xml:space="preserve">Este presupesto tiene una vigencia de 3 dias naturales posterior a la fecha de emision. Sujeto a Existencias. </t>
  </si>
  <si>
    <t>COTIZACIÓN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</si>
</sst>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#,##0_ ;\-#,##0\ "/>
    <numFmt numFmtId="165" formatCode="_-&quot;$&quot;* #,##0.00_-;\-&quot;$&quot;* #,##0.00_-;_-&quot;$&quot;* &quot;-&quot;??_-;_-@"/>
    <numFmt numFmtId="166" formatCode="0.0%"/>
  </numFmts>
  <fonts count="31" x14ac:knownFonts="1">
    <font>
      <sz val="11"/>
      <color rgb="FF000000"/>
      <name val="Libre Franklin"/>
    </font>
    <font>
      <sz val="10"/>
      <color rgb="FF000000"/>
      <name val="Libre Franklin"/>
    </font>
    <font>
      <sz val="14"/>
      <color rgb="FF000000"/>
      <name val="Libre Franklin"/>
    </font>
    <font>
      <sz val="11"/>
      <color rgb="FF0096D2"/>
      <name val="Libre Franklin"/>
    </font>
    <font>
      <u/>
      <sz val="11"/>
      <color rgb="FF0096D2"/>
      <name val="Libre Franklin"/>
    </font>
    <font>
      <sz val="11"/>
      <color indexed="8"/>
      <name val="Arial"/>
      <family val="2"/>
    </font>
    <font>
      <sz val="10"/>
      <color theme="1"/>
      <name val="Libre Franklin"/>
    </font>
    <font>
      <sz val="16"/>
      <color theme="1"/>
      <name val="Libre Franklin"/>
    </font>
    <font>
      <sz val="11"/>
      <color rgb="FF000000"/>
      <name val="Libre Franklin"/>
    </font>
    <font>
      <sz val="20"/>
      <color rgb="FF000000"/>
      <name val="Libre Franklin"/>
    </font>
    <font>
      <sz val="26"/>
      <color rgb="FF000000"/>
      <name val="Libre Franklin"/>
    </font>
    <font>
      <b/>
      <i/>
      <sz val="28"/>
      <color rgb="FF000000"/>
      <name val="Libre Franklin"/>
    </font>
    <font>
      <sz val="20"/>
      <name val="Libre Franklin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theme="9" tint="-0.499984740745262"/>
      <name val="Libre Franklin"/>
    </font>
    <font>
      <sz val="10"/>
      <color theme="9" tint="-0.499984740745262"/>
      <name val="Libre Franklin"/>
    </font>
    <font>
      <b/>
      <sz val="20"/>
      <name val="Libre Franklin"/>
    </font>
    <font>
      <b/>
      <sz val="20"/>
      <name val="Helvetica"/>
      <family val="2"/>
    </font>
    <font>
      <b/>
      <sz val="20"/>
      <color rgb="FF000000"/>
      <name val="Libre Franklin"/>
    </font>
    <font>
      <b/>
      <sz val="20"/>
      <color theme="0"/>
      <name val="Libre Franklin"/>
    </font>
    <font>
      <sz val="20"/>
      <color theme="1"/>
      <name val="Libre Franklin"/>
    </font>
    <font>
      <sz val="20"/>
      <color rgb="FF333A56"/>
      <name val="Libre Franklin"/>
    </font>
    <font>
      <b/>
      <sz val="20"/>
      <color rgb="FF333A56"/>
      <name val="Libre Franklin"/>
    </font>
    <font>
      <b/>
      <sz val="20"/>
      <color rgb="FFFFFFFF"/>
      <name val="Libre Franklin"/>
    </font>
    <font>
      <sz val="20"/>
      <color theme="9" tint="-0.499984740745262"/>
      <name val="Libre Franklin"/>
    </font>
    <font>
      <i/>
      <sz val="20"/>
      <color rgb="FF000000"/>
      <name val="Britannic Bold"/>
      <family val="2"/>
    </font>
    <font>
      <b/>
      <sz val="11"/>
      <color theme="0"/>
      <name val="Libre Franklin"/>
    </font>
    <font>
      <u/>
      <sz val="20"/>
      <color rgb="FF000000"/>
      <name val="Libre Franklin"/>
    </font>
    <font>
      <b/>
      <i/>
      <sz val="28"/>
      <color rgb="FFFF0000"/>
      <name val="Libre Franklin"/>
    </font>
    <font>
      <b/>
      <sz val="26"/>
      <color rgb="FF000000"/>
      <name val="Libre Frankli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rgb="FF8DB3E2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rgb="FF1F497D"/>
      </left>
      <right/>
      <top style="medium">
        <color rgb="FF1F497D"/>
      </top>
      <bottom style="medium">
        <color rgb="FF1F497D"/>
      </bottom>
      <diagonal/>
    </border>
    <border>
      <left/>
      <right style="medium">
        <color rgb="FF1F497D"/>
      </right>
      <top style="medium">
        <color rgb="FF1F497D"/>
      </top>
      <bottom style="medium">
        <color rgb="FF1F497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3" xfId="0" applyFont="1" applyBorder="1"/>
    <xf numFmtId="0" fontId="0" fillId="0" borderId="0" xfId="0" applyProtection="1">
      <protection locked="0"/>
    </xf>
    <xf numFmtId="0" fontId="27" fillId="4" borderId="0" xfId="0" applyFont="1" applyFill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2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6" fontId="0" fillId="0" borderId="0" xfId="0" applyNumberFormat="1"/>
    <xf numFmtId="8" fontId="0" fillId="0" borderId="0" xfId="0" applyNumberFormat="1"/>
    <xf numFmtId="0" fontId="0" fillId="0" borderId="0" xfId="2" applyNumberFormat="1" applyFont="1" applyProtection="1">
      <protection locked="0"/>
    </xf>
    <xf numFmtId="44" fontId="0" fillId="0" borderId="19" xfId="1" applyFont="1" applyBorder="1" applyProtection="1"/>
    <xf numFmtId="44" fontId="0" fillId="0" borderId="4" xfId="1" applyFont="1" applyBorder="1" applyProtection="1"/>
    <xf numFmtId="10" fontId="0" fillId="0" borderId="0" xfId="2" applyNumberFormat="1" applyFont="1" applyProtection="1">
      <protection locked="0"/>
    </xf>
    <xf numFmtId="14" fontId="12" fillId="0" borderId="0" xfId="0" applyNumberFormat="1" applyFont="1" applyAlignment="1">
      <alignment horizontal="left"/>
    </xf>
    <xf numFmtId="0" fontId="1" fillId="0" borderId="0" xfId="0" applyFont="1" applyProtection="1">
      <protection locked="0"/>
    </xf>
    <xf numFmtId="0" fontId="1" fillId="0" borderId="9" xfId="0" applyFont="1" applyBorder="1" applyProtection="1">
      <protection locked="0"/>
    </xf>
    <xf numFmtId="0" fontId="10" fillId="0" borderId="10" xfId="0" applyFont="1" applyBorder="1" applyAlignment="1" applyProtection="1">
      <alignment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17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7" fillId="0" borderId="0" xfId="0" applyFont="1" applyAlignment="1" applyProtection="1">
      <alignment horizontal="right"/>
      <protection locked="0"/>
    </xf>
    <xf numFmtId="14" fontId="12" fillId="0" borderId="0" xfId="0" quotePrefix="1" applyNumberFormat="1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14" fontId="9" fillId="0" borderId="0" xfId="0" applyNumberFormat="1" applyFont="1" applyProtection="1">
      <protection locked="0"/>
    </xf>
    <xf numFmtId="0" fontId="9" fillId="0" borderId="8" xfId="0" applyFont="1" applyBorder="1" applyProtection="1">
      <protection locked="0"/>
    </xf>
    <xf numFmtId="0" fontId="18" fillId="3" borderId="0" xfId="0" applyFont="1" applyFill="1" applyAlignment="1" applyProtection="1">
      <alignment vertical="center"/>
      <protection locked="0"/>
    </xf>
    <xf numFmtId="0" fontId="12" fillId="0" borderId="0" xfId="0" applyFont="1" applyAlignment="1" applyProtection="1">
      <alignment horizontal="left"/>
      <protection locked="0"/>
    </xf>
    <xf numFmtId="0" fontId="19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14" fontId="9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6" fillId="0" borderId="0" xfId="0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44" fontId="9" fillId="0" borderId="0" xfId="0" applyNumberFormat="1" applyFont="1" applyProtection="1">
      <protection locked="0"/>
    </xf>
    <xf numFmtId="44" fontId="9" fillId="0" borderId="3" xfId="0" applyNumberFormat="1" applyFont="1" applyBorder="1" applyProtection="1">
      <protection locked="0"/>
    </xf>
    <xf numFmtId="0" fontId="20" fillId="4" borderId="4" xfId="0" applyFont="1" applyFill="1" applyBorder="1" applyAlignment="1" applyProtection="1">
      <alignment horizontal="center" vertical="center" wrapText="1"/>
      <protection locked="0"/>
    </xf>
    <xf numFmtId="164" fontId="21" fillId="0" borderId="4" xfId="0" applyNumberFormat="1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165" fontId="21" fillId="0" borderId="4" xfId="0" applyNumberFormat="1" applyFont="1" applyBorder="1" applyAlignment="1" applyProtection="1">
      <alignment horizontal="left" vertical="center" wrapText="1"/>
      <protection locked="0"/>
    </xf>
    <xf numFmtId="165" fontId="21" fillId="0" borderId="4" xfId="0" applyNumberFormat="1" applyFont="1" applyBorder="1" applyAlignment="1" applyProtection="1">
      <alignment horizontal="center" vertical="center" wrapText="1"/>
      <protection locked="0"/>
    </xf>
    <xf numFmtId="164" fontId="21" fillId="6" borderId="4" xfId="0" applyNumberFormat="1" applyFont="1" applyFill="1" applyBorder="1" applyAlignment="1" applyProtection="1">
      <alignment horizontal="center" vertical="center"/>
      <protection locked="0"/>
    </xf>
    <xf numFmtId="0" fontId="21" fillId="6" borderId="4" xfId="0" applyFont="1" applyFill="1" applyBorder="1" applyAlignment="1" applyProtection="1">
      <alignment horizontal="left" vertical="center" wrapText="1"/>
      <protection locked="0"/>
    </xf>
    <xf numFmtId="165" fontId="21" fillId="6" borderId="4" xfId="0" applyNumberFormat="1" applyFont="1" applyFill="1" applyBorder="1" applyAlignment="1" applyProtection="1">
      <alignment horizontal="left" vertical="center" wrapText="1"/>
      <protection locked="0"/>
    </xf>
    <xf numFmtId="165" fontId="21" fillId="6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164" fontId="7" fillId="0" borderId="3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44" fontId="21" fillId="0" borderId="4" xfId="1" applyFont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 applyProtection="1">
      <alignment horizontal="right" vertical="center"/>
      <protection locked="0"/>
    </xf>
    <xf numFmtId="164" fontId="21" fillId="0" borderId="3" xfId="0" applyNumberFormat="1" applyFont="1" applyBorder="1" applyAlignment="1" applyProtection="1">
      <alignment horizontal="center" vertical="center"/>
      <protection locked="0"/>
    </xf>
    <xf numFmtId="0" fontId="21" fillId="0" borderId="3" xfId="0" applyFont="1" applyBorder="1" applyAlignment="1" applyProtection="1">
      <alignment horizontal="left" vertical="center" wrapText="1"/>
      <protection locked="0"/>
    </xf>
    <xf numFmtId="0" fontId="22" fillId="0" borderId="0" xfId="0" applyFont="1" applyAlignment="1" applyProtection="1">
      <alignment horizontal="right" vertical="center"/>
      <protection locked="0"/>
    </xf>
    <xf numFmtId="0" fontId="9" fillId="0" borderId="3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23" fillId="2" borderId="3" xfId="0" applyFont="1" applyFill="1" applyBorder="1" applyAlignment="1" applyProtection="1">
      <alignment horizontal="center" vertical="center"/>
      <protection locked="0"/>
    </xf>
    <xf numFmtId="165" fontId="24" fillId="2" borderId="3" xfId="0" applyNumberFormat="1" applyFont="1" applyFill="1" applyBorder="1" applyAlignment="1" applyProtection="1">
      <alignment vertical="center"/>
      <protection locked="0"/>
    </xf>
    <xf numFmtId="0" fontId="23" fillId="0" borderId="0" xfId="0" applyFont="1" applyAlignment="1" applyProtection="1">
      <alignment horizontal="right" vertical="center"/>
      <protection locked="0"/>
    </xf>
    <xf numFmtId="0" fontId="22" fillId="0" borderId="0" xfId="0" applyFont="1" applyProtection="1">
      <protection locked="0"/>
    </xf>
    <xf numFmtId="0" fontId="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alignment vertical="center"/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23" fillId="0" borderId="0" xfId="0" applyFont="1" applyAlignment="1" applyProtection="1">
      <alignment vertical="top"/>
      <protection locked="0"/>
    </xf>
    <xf numFmtId="0" fontId="25" fillId="0" borderId="0" xfId="0" applyFont="1" applyProtection="1">
      <protection locked="0"/>
    </xf>
    <xf numFmtId="0" fontId="26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9" fillId="0" borderId="17" xfId="0" applyFont="1" applyBorder="1" applyAlignment="1" applyProtection="1">
      <alignment vertical="center"/>
      <protection locked="0"/>
    </xf>
    <xf numFmtId="165" fontId="19" fillId="5" borderId="1" xfId="0" applyNumberFormat="1" applyFont="1" applyFill="1" applyBorder="1" applyAlignment="1" applyProtection="1">
      <alignment horizontal="center" vertical="center"/>
      <protection locked="0"/>
    </xf>
    <xf numFmtId="165" fontId="19" fillId="5" borderId="2" xfId="0" applyNumberFormat="1" applyFont="1" applyFill="1" applyBorder="1" applyAlignment="1" applyProtection="1">
      <alignment horizontal="center" vertical="center"/>
      <protection locked="0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165" fontId="9" fillId="0" borderId="2" xfId="0" applyNumberFormat="1" applyFont="1" applyBorder="1" applyAlignment="1" applyProtection="1">
      <alignment horizontal="center" vertical="center"/>
      <protection locked="0"/>
    </xf>
    <xf numFmtId="0" fontId="20" fillId="4" borderId="6" xfId="0" applyFont="1" applyFill="1" applyBorder="1" applyAlignment="1" applyProtection="1">
      <alignment horizontal="center" vertical="center"/>
      <protection locked="0"/>
    </xf>
    <xf numFmtId="0" fontId="20" fillId="4" borderId="12" xfId="0" applyFont="1" applyFill="1" applyBorder="1" applyAlignment="1" applyProtection="1">
      <alignment horizontal="center" vertical="center"/>
      <protection locked="0"/>
    </xf>
    <xf numFmtId="0" fontId="20" fillId="4" borderId="5" xfId="0" applyFont="1" applyFill="1" applyBorder="1" applyAlignment="1" applyProtection="1">
      <alignment horizontal="center" vertical="center"/>
      <protection locked="0"/>
    </xf>
    <xf numFmtId="0" fontId="20" fillId="4" borderId="6" xfId="0" applyFont="1" applyFill="1" applyBorder="1" applyAlignment="1" applyProtection="1">
      <alignment horizontal="center" vertical="center" wrapText="1"/>
      <protection locked="0"/>
    </xf>
    <xf numFmtId="0" fontId="20" fillId="4" borderId="12" xfId="0" applyFont="1" applyFill="1" applyBorder="1" applyAlignment="1" applyProtection="1">
      <alignment horizontal="center" vertical="center" wrapText="1"/>
      <protection locked="0"/>
    </xf>
    <xf numFmtId="0" fontId="20" fillId="4" borderId="5" xfId="0" applyFont="1" applyFill="1" applyBorder="1" applyAlignment="1" applyProtection="1">
      <alignment horizontal="center" vertical="center" wrapText="1"/>
      <protection locked="0"/>
    </xf>
    <xf numFmtId="44" fontId="12" fillId="0" borderId="6" xfId="1" applyFont="1" applyFill="1" applyBorder="1" applyAlignment="1" applyProtection="1">
      <alignment horizontal="center" vertical="center" wrapText="1"/>
      <protection locked="0"/>
    </xf>
    <xf numFmtId="44" fontId="12" fillId="0" borderId="12" xfId="1" applyFont="1" applyFill="1" applyBorder="1" applyAlignment="1" applyProtection="1">
      <alignment horizontal="center" vertical="center" wrapText="1"/>
      <protection locked="0"/>
    </xf>
    <xf numFmtId="44" fontId="12" fillId="0" borderId="5" xfId="1" applyFont="1" applyFill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29" fillId="0" borderId="10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6" fontId="12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quotePrefix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center" vertical="top" wrapText="1"/>
      <protection locked="0"/>
    </xf>
    <xf numFmtId="0" fontId="19" fillId="0" borderId="14" xfId="0" applyFont="1" applyBorder="1" applyAlignment="1" applyProtection="1">
      <alignment horizontal="center" vertical="top" wrapText="1"/>
      <protection locked="0"/>
    </xf>
    <xf numFmtId="0" fontId="19" fillId="0" borderId="15" xfId="0" applyFont="1" applyBorder="1" applyAlignment="1" applyProtection="1">
      <alignment horizontal="center" vertical="top" wrapText="1"/>
      <protection locked="0"/>
    </xf>
    <xf numFmtId="0" fontId="19" fillId="0" borderId="16" xfId="0" applyFont="1" applyBorder="1" applyAlignment="1" applyProtection="1">
      <alignment horizontal="center" vertical="top" wrapText="1"/>
      <protection locked="0"/>
    </xf>
    <xf numFmtId="0" fontId="19" fillId="0" borderId="17" xfId="0" applyFont="1" applyBorder="1" applyAlignment="1" applyProtection="1">
      <alignment horizontal="center" vertical="top" wrapText="1"/>
      <protection locked="0"/>
    </xf>
    <xf numFmtId="0" fontId="19" fillId="0" borderId="18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44" fontId="0" fillId="0" borderId="6" xfId="1" applyFont="1" applyBorder="1" applyAlignment="1" applyProtection="1">
      <alignment horizontal="center" vertical="center"/>
    </xf>
    <xf numFmtId="44" fontId="0" fillId="0" borderId="5" xfId="1" applyFont="1" applyBorder="1" applyAlignment="1" applyProtection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4">
    <dxf>
      <fill>
        <patternFill patternType="solid">
          <fgColor rgb="FFF2F2F2"/>
          <bgColor rgb="FFF2F2F2"/>
        </patternFill>
      </fill>
    </dxf>
    <dxf>
      <fill>
        <patternFill patternType="solid">
          <fgColor rgb="FF1F497D"/>
          <bgColor rgb="FF1F497D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1F497D"/>
          <bgColor rgb="FF1F497D"/>
        </patternFill>
      </fill>
    </dxf>
  </dxfs>
  <tableStyles count="2">
    <tableStyle name="Presupuesto-style" pivot="0" count="2" xr9:uid="{00000000-0011-0000-FFFF-FFFF00000000}">
      <tableStyleElement type="headerRow" dxfId="3"/>
      <tableStyleElement type="secondRowStripe" dxfId="2"/>
    </tableStyle>
    <tableStyle name="Presupuesto-style 2" pivot="0" count="2" xr9:uid="{00000000-0011-0000-FFFF-FFFF01000000}">
      <tableStyleElement type="header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663286</xdr:colOff>
      <xdr:row>1</xdr:row>
      <xdr:rowOff>198294</xdr:rowOff>
    </xdr:from>
    <xdr:ext cx="3388179" cy="1070882"/>
    <xdr:pic>
      <xdr:nvPicPr>
        <xdr:cNvPr id="2" name="image2.png">
          <a:extLst>
            <a:ext uri="{FF2B5EF4-FFF2-40B4-BE49-F238E27FC236}">
              <a16:creationId xmlns:a16="http://schemas.microsoft.com/office/drawing/2014/main" id="{8A4CA583-A4D2-499C-8558-8222E75958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8422" y="388794"/>
          <a:ext cx="3388179" cy="1070882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B1:B100"/>
  <sheetViews>
    <sheetView workbookViewId="0"/>
  </sheetViews>
  <sheetFormatPr baseColWidth="10" defaultColWidth="14.296875" defaultRowHeight="15" customHeight="1" x14ac:dyDescent="0.4"/>
  <cols>
    <col min="1" max="11" width="10.69921875" customWidth="1"/>
  </cols>
  <sheetData>
    <row r="1" spans="2:2" ht="15.75" customHeight="1" x14ac:dyDescent="0.4"/>
    <row r="2" spans="2:2" ht="15.75" customHeight="1" x14ac:dyDescent="0.4">
      <c r="B2" s="1" t="s">
        <v>20</v>
      </c>
    </row>
    <row r="3" spans="2:2" ht="15.75" customHeight="1" x14ac:dyDescent="0.4"/>
    <row r="4" spans="2:2" ht="15.75" customHeight="1" x14ac:dyDescent="0.4">
      <c r="B4" s="2" t="s">
        <v>21</v>
      </c>
    </row>
    <row r="5" spans="2:2" ht="15.75" customHeight="1" x14ac:dyDescent="0.4"/>
    <row r="6" spans="2:2" ht="15.75" customHeight="1" x14ac:dyDescent="0.4"/>
    <row r="7" spans="2:2" ht="15.75" customHeight="1" x14ac:dyDescent="0.4"/>
    <row r="8" spans="2:2" ht="15.75" customHeight="1" x14ac:dyDescent="0.4"/>
    <row r="9" spans="2:2" ht="15.75" customHeight="1" x14ac:dyDescent="0.4"/>
    <row r="10" spans="2:2" ht="15.75" customHeight="1" x14ac:dyDescent="0.4"/>
    <row r="11" spans="2:2" ht="15.75" customHeight="1" x14ac:dyDescent="0.4"/>
    <row r="12" spans="2:2" ht="15.75" customHeight="1" x14ac:dyDescent="0.4"/>
    <row r="13" spans="2:2" ht="15.75" customHeight="1" x14ac:dyDescent="0.4"/>
    <row r="14" spans="2:2" ht="15.75" customHeight="1" x14ac:dyDescent="0.4"/>
    <row r="15" spans="2:2" ht="15.75" customHeight="1" x14ac:dyDescent="0.4"/>
    <row r="16" spans="2:2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</sheetData>
  <hyperlinks>
    <hyperlink ref="B4" location="crossmax 200!A1" display="'crossmax 200" xr:uid="{00000000-0004-0000-0100-000000000000}"/>
  </hyperlink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ABAB-9EB9-410F-97DD-8F306B59A8B3}">
  <sheetPr codeName="Hoja3">
    <pageSetUpPr fitToPage="1"/>
  </sheetPr>
  <dimension ref="A1:L97"/>
  <sheetViews>
    <sheetView showGridLines="0" tabSelected="1" showWhiteSpace="0" zoomScale="55" zoomScaleNormal="55" zoomScaleSheetLayoutView="40" zoomScalePageLayoutView="55" workbookViewId="0">
      <selection activeCell="H9" sqref="H9"/>
    </sheetView>
  </sheetViews>
  <sheetFormatPr baseColWidth="10" defaultColWidth="14.296875" defaultRowHeight="15" customHeight="1" x14ac:dyDescent="0.4"/>
  <cols>
    <col min="1" max="1" width="3.296875" style="4" customWidth="1"/>
    <col min="2" max="2" width="13" style="4" customWidth="1"/>
    <col min="3" max="3" width="38.296875" style="4" customWidth="1"/>
    <col min="4" max="4" width="37.59765625" style="4" customWidth="1"/>
    <col min="5" max="5" width="43.296875" style="4" customWidth="1"/>
    <col min="6" max="6" width="26.3984375" style="4" customWidth="1"/>
    <col min="7" max="7" width="31.69921875" style="4" customWidth="1"/>
    <col min="8" max="8" width="29.296875" style="4" bestFit="1" customWidth="1"/>
    <col min="9" max="9" width="18.8984375" style="4" bestFit="1" customWidth="1"/>
    <col min="10" max="11" width="8.69921875" style="4" customWidth="1"/>
    <col min="12" max="16384" width="14.296875" style="4"/>
  </cols>
  <sheetData>
    <row r="1" spans="1:12" ht="15" customHeight="1" thickBot="1" x14ac:dyDescent="0.45"/>
    <row r="2" spans="1:12" ht="114" customHeight="1" thickBot="1" x14ac:dyDescent="0.45">
      <c r="A2" s="16"/>
      <c r="B2" s="16"/>
      <c r="C2" s="17"/>
      <c r="D2" s="105" t="s">
        <v>74</v>
      </c>
      <c r="E2" s="106"/>
      <c r="F2" s="18"/>
      <c r="G2" s="83" t="s">
        <v>89</v>
      </c>
      <c r="H2" s="19"/>
      <c r="I2" s="16"/>
      <c r="J2" s="16"/>
      <c r="K2" s="16"/>
    </row>
    <row r="3" spans="1:12" ht="30" customHeight="1" x14ac:dyDescent="0.45">
      <c r="A3" s="16"/>
      <c r="B3" s="16"/>
      <c r="H3" s="20"/>
      <c r="I3" s="16"/>
      <c r="J3" s="16"/>
      <c r="K3" s="16"/>
    </row>
    <row r="4" spans="1:12" ht="30" customHeight="1" x14ac:dyDescent="0.65">
      <c r="A4" s="21"/>
      <c r="B4" s="21"/>
      <c r="C4" s="22" t="s">
        <v>62</v>
      </c>
      <c r="D4" s="23"/>
      <c r="E4" s="23"/>
      <c r="F4" s="23"/>
      <c r="G4" s="24" t="s">
        <v>0</v>
      </c>
      <c r="H4" s="25">
        <v>46113</v>
      </c>
      <c r="I4" s="21"/>
      <c r="J4" s="21"/>
      <c r="K4" s="21"/>
    </row>
    <row r="5" spans="1:12" ht="30" customHeight="1" x14ac:dyDescent="0.4">
      <c r="A5" s="21"/>
      <c r="B5" s="21"/>
      <c r="C5" s="108" t="s">
        <v>75</v>
      </c>
      <c r="D5" s="109"/>
      <c r="E5" s="109"/>
      <c r="F5" s="109"/>
      <c r="G5" s="109"/>
      <c r="H5" s="109"/>
      <c r="I5" s="21"/>
      <c r="J5" s="21"/>
      <c r="K5" s="21"/>
    </row>
    <row r="6" spans="1:12" ht="30" customHeight="1" x14ac:dyDescent="0.65">
      <c r="A6" s="16"/>
      <c r="B6" s="16"/>
      <c r="C6" s="26"/>
      <c r="D6" s="27"/>
      <c r="E6" s="27"/>
      <c r="F6" s="23"/>
      <c r="H6" s="28"/>
      <c r="I6" s="16"/>
      <c r="J6" s="16"/>
      <c r="K6" s="16"/>
    </row>
    <row r="7" spans="1:12" ht="30" customHeight="1" x14ac:dyDescent="0.65">
      <c r="A7" s="16"/>
      <c r="B7" s="16"/>
      <c r="C7" s="22" t="s">
        <v>1</v>
      </c>
      <c r="D7" s="29" t="s">
        <v>84</v>
      </c>
      <c r="E7" s="23"/>
      <c r="F7" s="23"/>
      <c r="I7" s="16"/>
      <c r="J7" s="16"/>
      <c r="K7" s="16"/>
    </row>
    <row r="8" spans="1:12" ht="30" customHeight="1" x14ac:dyDescent="0.65">
      <c r="A8" s="16"/>
      <c r="B8" s="16"/>
      <c r="C8" s="30"/>
      <c r="D8" s="23"/>
      <c r="E8" s="23"/>
      <c r="F8" s="23"/>
      <c r="G8" s="24" t="s">
        <v>65</v>
      </c>
      <c r="I8" s="16"/>
      <c r="J8" s="16"/>
      <c r="K8" s="16"/>
    </row>
    <row r="9" spans="1:12" ht="30" customHeight="1" x14ac:dyDescent="0.65">
      <c r="A9" s="16"/>
      <c r="B9" s="16"/>
      <c r="C9" s="31"/>
      <c r="D9" s="23"/>
      <c r="E9" s="23"/>
      <c r="F9" s="32"/>
      <c r="G9" s="24" t="s">
        <v>64</v>
      </c>
      <c r="H9" s="15">
        <f>H4+2</f>
        <v>46115</v>
      </c>
      <c r="I9" s="16"/>
      <c r="J9" s="16"/>
      <c r="K9" s="16"/>
    </row>
    <row r="10" spans="1:12" ht="30" customHeight="1" x14ac:dyDescent="0.65">
      <c r="A10" s="16"/>
      <c r="B10" s="16"/>
      <c r="C10" s="31"/>
      <c r="D10" s="23"/>
      <c r="E10" s="23"/>
      <c r="F10" s="23"/>
      <c r="G10" s="24" t="s">
        <v>2</v>
      </c>
      <c r="H10" s="31" t="s">
        <v>86</v>
      </c>
      <c r="I10" s="16"/>
      <c r="J10" s="16"/>
      <c r="K10" s="16"/>
    </row>
    <row r="11" spans="1:12" ht="30" customHeight="1" thickBot="1" x14ac:dyDescent="0.7">
      <c r="A11" s="16"/>
      <c r="B11" s="16"/>
      <c r="C11" s="110" t="s">
        <v>3</v>
      </c>
      <c r="D11" s="110"/>
      <c r="E11" s="23"/>
      <c r="F11" s="23"/>
      <c r="G11" s="23"/>
      <c r="H11" s="33"/>
      <c r="I11" s="16"/>
      <c r="J11" s="16"/>
      <c r="K11" s="16"/>
    </row>
    <row r="12" spans="1:12" ht="30" customHeight="1" x14ac:dyDescent="0.4">
      <c r="A12" s="34"/>
      <c r="B12" s="34"/>
      <c r="C12" s="111"/>
      <c r="D12" s="112"/>
      <c r="E12" s="112"/>
      <c r="F12" s="112"/>
      <c r="G12" s="112"/>
      <c r="H12" s="113"/>
      <c r="I12" s="34"/>
      <c r="J12" s="34"/>
      <c r="K12" s="34"/>
    </row>
    <row r="13" spans="1:12" ht="30" customHeight="1" thickBot="1" x14ac:dyDescent="0.45">
      <c r="A13" s="35"/>
      <c r="B13" s="35"/>
      <c r="C13" s="114"/>
      <c r="D13" s="115"/>
      <c r="E13" s="115"/>
      <c r="F13" s="115"/>
      <c r="G13" s="115"/>
      <c r="H13" s="116"/>
      <c r="I13" s="35"/>
      <c r="J13" s="35"/>
      <c r="K13" s="35"/>
    </row>
    <row r="14" spans="1:12" ht="30" customHeight="1" x14ac:dyDescent="0.65">
      <c r="A14" s="35"/>
      <c r="B14" s="35"/>
      <c r="C14" s="23"/>
      <c r="D14" s="23"/>
      <c r="E14" s="23"/>
      <c r="F14" s="23"/>
      <c r="G14" s="23"/>
      <c r="H14" s="23"/>
      <c r="I14" s="35"/>
      <c r="J14" s="35"/>
      <c r="K14" s="35"/>
    </row>
    <row r="15" spans="1:12" ht="25.15" customHeight="1" x14ac:dyDescent="0.4">
      <c r="A15" s="35"/>
      <c r="B15" s="35"/>
      <c r="C15" s="36"/>
      <c r="D15" s="36"/>
      <c r="E15" s="37"/>
      <c r="F15" s="38"/>
      <c r="G15" s="39"/>
      <c r="H15" s="36"/>
      <c r="I15" s="35"/>
      <c r="J15" s="35"/>
      <c r="K15" s="35"/>
    </row>
    <row r="16" spans="1:12" ht="25.15" customHeight="1" x14ac:dyDescent="0.4">
      <c r="A16" s="35"/>
      <c r="B16" s="40"/>
      <c r="C16" s="90" t="s">
        <v>4</v>
      </c>
      <c r="D16" s="90" t="s">
        <v>5</v>
      </c>
      <c r="E16" s="90" t="s">
        <v>39</v>
      </c>
      <c r="F16" s="93" t="s">
        <v>63</v>
      </c>
      <c r="G16" s="90" t="s">
        <v>67</v>
      </c>
      <c r="H16" s="90" t="s">
        <v>83</v>
      </c>
      <c r="I16" s="90" t="s">
        <v>59</v>
      </c>
      <c r="J16" s="40"/>
      <c r="K16" s="35"/>
      <c r="L16" s="35"/>
    </row>
    <row r="17" spans="1:12" ht="25.15" customHeight="1" x14ac:dyDescent="0.4">
      <c r="A17" s="35"/>
      <c r="B17" s="40"/>
      <c r="C17" s="91"/>
      <c r="D17" s="91"/>
      <c r="E17" s="91"/>
      <c r="F17" s="94"/>
      <c r="G17" s="91"/>
      <c r="H17" s="91"/>
      <c r="I17" s="91"/>
      <c r="J17" s="40"/>
      <c r="K17" s="35"/>
      <c r="L17" s="35"/>
    </row>
    <row r="18" spans="1:12" ht="25.15" customHeight="1" x14ac:dyDescent="0.4">
      <c r="A18" s="41"/>
      <c r="B18" s="42"/>
      <c r="C18" s="92"/>
      <c r="D18" s="92"/>
      <c r="E18" s="92"/>
      <c r="F18" s="95"/>
      <c r="G18" s="92"/>
      <c r="H18" s="92"/>
      <c r="I18" s="92"/>
      <c r="J18" s="42"/>
      <c r="K18" s="16"/>
      <c r="L18" s="16"/>
    </row>
    <row r="19" spans="1:12" ht="25.15" customHeight="1" x14ac:dyDescent="0.4">
      <c r="A19" s="43"/>
      <c r="B19" s="44"/>
      <c r="C19" s="99"/>
      <c r="D19" s="99" t="s">
        <v>29</v>
      </c>
      <c r="E19" s="102" t="s">
        <v>78</v>
      </c>
      <c r="F19" s="96">
        <v>9000</v>
      </c>
      <c r="G19" s="96"/>
      <c r="H19" s="96">
        <v>900</v>
      </c>
      <c r="I19" s="107">
        <v>80000</v>
      </c>
      <c r="J19" s="44"/>
      <c r="K19" s="45"/>
      <c r="L19" s="45"/>
    </row>
    <row r="20" spans="1:12" ht="25.15" customHeight="1" x14ac:dyDescent="0.4">
      <c r="A20" s="46"/>
      <c r="B20" s="47"/>
      <c r="C20" s="100"/>
      <c r="D20" s="100"/>
      <c r="E20" s="103"/>
      <c r="F20" s="97"/>
      <c r="G20" s="97"/>
      <c r="H20" s="97"/>
      <c r="I20" s="97"/>
      <c r="J20" s="47"/>
      <c r="K20" s="48"/>
      <c r="L20" s="48"/>
    </row>
    <row r="21" spans="1:12" ht="25.15" customHeight="1" x14ac:dyDescent="0.4">
      <c r="A21" s="46"/>
      <c r="B21" s="47"/>
      <c r="C21" s="101"/>
      <c r="D21" s="101"/>
      <c r="E21" s="104"/>
      <c r="F21" s="98"/>
      <c r="G21" s="98"/>
      <c r="H21" s="98"/>
      <c r="I21" s="98"/>
      <c r="J21" s="47"/>
      <c r="K21" s="48"/>
      <c r="L21" s="48"/>
    </row>
    <row r="22" spans="1:12" ht="25.15" customHeight="1" x14ac:dyDescent="0.65">
      <c r="A22" s="46"/>
      <c r="B22" s="47"/>
      <c r="C22" s="23"/>
      <c r="D22" s="23"/>
      <c r="E22" s="23"/>
      <c r="F22" s="49"/>
      <c r="G22" s="23"/>
      <c r="H22" s="50"/>
      <c r="I22" s="47"/>
      <c r="J22" s="48"/>
      <c r="K22" s="48"/>
    </row>
    <row r="23" spans="1:12" ht="25.15" customHeight="1" x14ac:dyDescent="0.65">
      <c r="A23" s="46"/>
      <c r="B23" s="47"/>
      <c r="C23" s="23"/>
      <c r="D23" s="23"/>
      <c r="E23" s="23"/>
      <c r="F23" s="23"/>
      <c r="G23" s="23"/>
      <c r="H23" s="23"/>
      <c r="I23" s="47"/>
      <c r="J23" s="48"/>
      <c r="K23" s="48"/>
    </row>
    <row r="24" spans="1:12" ht="30" customHeight="1" x14ac:dyDescent="0.4">
      <c r="A24" s="46"/>
      <c r="B24" s="47"/>
      <c r="C24" s="51" t="s">
        <v>6</v>
      </c>
      <c r="D24" s="51" t="s">
        <v>7</v>
      </c>
      <c r="E24" s="51" t="s">
        <v>8</v>
      </c>
      <c r="F24" s="51" t="s">
        <v>61</v>
      </c>
      <c r="G24" s="51" t="s">
        <v>9</v>
      </c>
      <c r="H24" s="51" t="s">
        <v>10</v>
      </c>
      <c r="I24" s="47"/>
      <c r="J24" s="48"/>
      <c r="K24" s="48"/>
    </row>
    <row r="25" spans="1:12" ht="30" customHeight="1" x14ac:dyDescent="0.4">
      <c r="A25" s="46"/>
      <c r="B25" s="47"/>
      <c r="C25" s="52">
        <v>1</v>
      </c>
      <c r="D25" s="52" t="s">
        <v>33</v>
      </c>
      <c r="E25" s="53" t="s">
        <v>87</v>
      </c>
      <c r="F25" s="54">
        <v>53999</v>
      </c>
      <c r="G25" s="54">
        <v>15000</v>
      </c>
      <c r="H25" s="55">
        <f>F25-G25</f>
        <v>38999</v>
      </c>
      <c r="I25" s="47"/>
      <c r="J25" s="48"/>
      <c r="K25" s="48"/>
    </row>
    <row r="26" spans="1:12" ht="30" customHeight="1" x14ac:dyDescent="0.4">
      <c r="A26" s="41"/>
      <c r="B26" s="42"/>
      <c r="C26" s="56">
        <v>1</v>
      </c>
      <c r="D26" s="56" t="s">
        <v>56</v>
      </c>
      <c r="E26" s="57" t="s">
        <v>35</v>
      </c>
      <c r="F26" s="58">
        <v>1000</v>
      </c>
      <c r="G26" s="58">
        <v>1000</v>
      </c>
      <c r="H26" s="59">
        <f>F26-G26</f>
        <v>0</v>
      </c>
      <c r="I26" s="42"/>
      <c r="J26" s="16"/>
      <c r="K26" s="16"/>
    </row>
    <row r="27" spans="1:12" ht="30" customHeight="1" x14ac:dyDescent="0.4">
      <c r="A27" s="60"/>
      <c r="B27" s="61"/>
      <c r="C27" s="52">
        <v>1</v>
      </c>
      <c r="D27" s="52" t="s">
        <v>55</v>
      </c>
      <c r="E27" s="53" t="s">
        <v>11</v>
      </c>
      <c r="F27" s="54">
        <v>500</v>
      </c>
      <c r="G27" s="54">
        <v>500</v>
      </c>
      <c r="H27" s="55">
        <f>F26-G26</f>
        <v>0</v>
      </c>
      <c r="I27" s="61"/>
      <c r="J27" s="21"/>
      <c r="K27" s="21"/>
    </row>
    <row r="28" spans="1:12" ht="30" customHeight="1" x14ac:dyDescent="0.4">
      <c r="A28" s="60"/>
      <c r="B28" s="61"/>
      <c r="C28" s="56">
        <v>1</v>
      </c>
      <c r="D28" s="56" t="s">
        <v>55</v>
      </c>
      <c r="E28" s="57" t="s">
        <v>36</v>
      </c>
      <c r="F28" s="58">
        <v>1000</v>
      </c>
      <c r="G28" s="58">
        <v>1000</v>
      </c>
      <c r="H28" s="59">
        <f>F26-G26</f>
        <v>0</v>
      </c>
      <c r="I28" s="61"/>
      <c r="J28" s="21"/>
      <c r="K28" s="21"/>
    </row>
    <row r="29" spans="1:12" ht="30" customHeight="1" x14ac:dyDescent="0.4">
      <c r="A29" s="60"/>
      <c r="B29" s="62"/>
      <c r="C29" s="52">
        <v>1</v>
      </c>
      <c r="D29" s="52" t="s">
        <v>55</v>
      </c>
      <c r="E29" s="53" t="s">
        <v>37</v>
      </c>
      <c r="F29" s="54">
        <v>700</v>
      </c>
      <c r="G29" s="54">
        <v>700</v>
      </c>
      <c r="H29" s="55">
        <f>F26-G26</f>
        <v>0</v>
      </c>
      <c r="I29" s="62"/>
      <c r="J29" s="21"/>
      <c r="K29" s="21"/>
    </row>
    <row r="30" spans="1:12" ht="30" customHeight="1" x14ac:dyDescent="0.4">
      <c r="A30" s="21"/>
      <c r="B30" s="63"/>
      <c r="C30" s="56"/>
      <c r="D30" s="56"/>
      <c r="E30" s="57"/>
      <c r="F30" s="58">
        <v>0</v>
      </c>
      <c r="G30" s="58">
        <v>0</v>
      </c>
      <c r="H30" s="59">
        <f>F26-G26</f>
        <v>0</v>
      </c>
      <c r="I30" s="63"/>
      <c r="J30" s="21"/>
      <c r="K30" s="21"/>
    </row>
    <row r="31" spans="1:12" ht="30" customHeight="1" x14ac:dyDescent="0.4">
      <c r="A31" s="21"/>
      <c r="B31" s="21"/>
      <c r="C31" s="52"/>
      <c r="D31" s="52"/>
      <c r="E31" s="53"/>
      <c r="F31" s="54">
        <v>0</v>
      </c>
      <c r="G31" s="54">
        <v>0</v>
      </c>
      <c r="H31" s="64">
        <f>F26-G26</f>
        <v>0</v>
      </c>
      <c r="I31" s="21"/>
      <c r="J31" s="21"/>
      <c r="K31" s="21"/>
    </row>
    <row r="32" spans="1:12" ht="30" customHeight="1" x14ac:dyDescent="0.4">
      <c r="A32" s="21"/>
      <c r="B32" s="21"/>
      <c r="C32" s="56"/>
      <c r="D32" s="56"/>
      <c r="E32" s="57"/>
      <c r="F32" s="58"/>
      <c r="G32" s="58"/>
      <c r="H32" s="59"/>
      <c r="I32" s="21"/>
      <c r="J32" s="21"/>
      <c r="K32" s="21"/>
    </row>
    <row r="33" spans="1:11" ht="30" customHeight="1" x14ac:dyDescent="0.4">
      <c r="A33" s="60"/>
      <c r="B33" s="62"/>
      <c r="C33" s="52" t="s">
        <v>13</v>
      </c>
      <c r="D33" s="52"/>
      <c r="E33" s="53"/>
      <c r="F33" s="54"/>
      <c r="G33" s="54">
        <f>SUM(G25:G31)</f>
        <v>18200</v>
      </c>
      <c r="H33" s="55">
        <f>SUM(H25:H31)</f>
        <v>38999</v>
      </c>
      <c r="I33" s="62"/>
      <c r="J33" s="21"/>
      <c r="K33" s="21"/>
    </row>
    <row r="34" spans="1:11" ht="30" customHeight="1" x14ac:dyDescent="0.65">
      <c r="A34" s="21"/>
      <c r="B34" s="21"/>
      <c r="C34" s="23"/>
      <c r="D34" s="23"/>
      <c r="E34" s="23"/>
      <c r="F34" s="23"/>
      <c r="G34" s="23"/>
      <c r="H34" s="23"/>
      <c r="I34" s="21"/>
      <c r="J34" s="21"/>
      <c r="K34" s="21"/>
    </row>
    <row r="35" spans="1:11" ht="30" customHeight="1" thickBot="1" x14ac:dyDescent="0.7">
      <c r="A35" s="60"/>
      <c r="B35" s="62"/>
      <c r="C35" s="23"/>
      <c r="D35" s="23"/>
      <c r="E35" s="23"/>
      <c r="F35" s="23"/>
      <c r="G35" s="23"/>
      <c r="H35" s="23"/>
      <c r="I35" s="62"/>
      <c r="J35" s="21"/>
      <c r="K35" s="21"/>
    </row>
    <row r="36" spans="1:11" ht="30" customHeight="1" thickBot="1" x14ac:dyDescent="0.7">
      <c r="A36" s="21"/>
      <c r="B36" s="16"/>
      <c r="C36" s="23"/>
      <c r="D36" s="23"/>
      <c r="E36" s="23"/>
      <c r="F36" s="65" t="s">
        <v>14</v>
      </c>
      <c r="G36" s="88">
        <f>G33</f>
        <v>18200</v>
      </c>
      <c r="H36" s="89"/>
      <c r="I36" s="16"/>
      <c r="J36" s="21"/>
      <c r="K36" s="21"/>
    </row>
    <row r="37" spans="1:11" ht="30" customHeight="1" thickBot="1" x14ac:dyDescent="0.45">
      <c r="A37" s="21"/>
      <c r="B37" s="16"/>
      <c r="C37" s="66"/>
      <c r="D37" s="66"/>
      <c r="E37" s="67"/>
      <c r="F37" s="68" t="s">
        <v>15</v>
      </c>
      <c r="G37" s="88">
        <f>H25*0.84</f>
        <v>32759.16</v>
      </c>
      <c r="H37" s="89"/>
      <c r="I37" s="16"/>
      <c r="J37" s="21"/>
      <c r="K37" s="21"/>
    </row>
    <row r="38" spans="1:11" ht="30" customHeight="1" thickBot="1" x14ac:dyDescent="0.7">
      <c r="A38" s="16"/>
      <c r="B38" s="16"/>
      <c r="C38" s="69"/>
      <c r="D38" s="69"/>
      <c r="E38" s="69"/>
      <c r="F38" s="68" t="s">
        <v>17</v>
      </c>
      <c r="G38" s="88">
        <f>H25*0.16</f>
        <v>6239.84</v>
      </c>
      <c r="H38" s="89"/>
      <c r="I38" s="16"/>
      <c r="J38" s="16"/>
      <c r="K38" s="16"/>
    </row>
    <row r="39" spans="1:11" ht="30" customHeight="1" thickBot="1" x14ac:dyDescent="0.45">
      <c r="A39" s="16"/>
      <c r="B39" s="70"/>
      <c r="C39" s="71"/>
      <c r="D39" s="72"/>
      <c r="E39" s="27"/>
      <c r="F39" s="68" t="s">
        <v>66</v>
      </c>
      <c r="G39" s="88">
        <f>I19-H25</f>
        <v>41001</v>
      </c>
      <c r="H39" s="89"/>
      <c r="I39" s="70"/>
      <c r="J39" s="16"/>
      <c r="K39" s="16"/>
    </row>
    <row r="40" spans="1:11" ht="30" customHeight="1" thickBot="1" x14ac:dyDescent="0.45">
      <c r="A40" s="16"/>
      <c r="B40" s="16"/>
      <c r="C40" s="71"/>
      <c r="D40" s="72"/>
      <c r="E40" s="27"/>
      <c r="F40" s="73" t="s">
        <v>18</v>
      </c>
      <c r="G40" s="86">
        <f>I19</f>
        <v>80000</v>
      </c>
      <c r="H40" s="87"/>
      <c r="I40" s="16"/>
      <c r="J40" s="16"/>
      <c r="K40" s="16"/>
    </row>
    <row r="41" spans="1:11" ht="30" customHeight="1" x14ac:dyDescent="0.65">
      <c r="A41" s="16"/>
      <c r="B41" s="16"/>
      <c r="C41" s="23"/>
      <c r="D41" s="27"/>
      <c r="E41" s="27"/>
      <c r="F41" s="23"/>
      <c r="G41" s="23"/>
      <c r="H41" s="23"/>
      <c r="I41" s="16"/>
      <c r="J41" s="16"/>
      <c r="K41" s="16"/>
    </row>
    <row r="42" spans="1:11" ht="30" customHeight="1" x14ac:dyDescent="0.65">
      <c r="A42" s="16"/>
      <c r="B42" s="16"/>
      <c r="C42" s="23"/>
      <c r="D42" s="27"/>
      <c r="E42" s="27"/>
      <c r="F42" s="23"/>
      <c r="G42" s="23"/>
      <c r="H42" s="23"/>
      <c r="I42" s="16"/>
      <c r="J42" s="16"/>
      <c r="K42" s="16"/>
    </row>
    <row r="43" spans="1:11" ht="30" customHeight="1" x14ac:dyDescent="0.4">
      <c r="A43" s="16"/>
      <c r="B43" s="16"/>
      <c r="F43" s="16"/>
      <c r="G43" s="16"/>
      <c r="H43" s="16"/>
      <c r="I43" s="16"/>
      <c r="J43" s="16"/>
      <c r="K43" s="16"/>
    </row>
    <row r="44" spans="1:11" ht="30" customHeight="1" x14ac:dyDescent="0.4">
      <c r="A44" s="16"/>
      <c r="B44" s="16"/>
      <c r="F44" s="16"/>
      <c r="G44" s="16"/>
      <c r="H44" s="16"/>
      <c r="I44" s="16"/>
      <c r="J44" s="16"/>
      <c r="K44" s="16"/>
    </row>
    <row r="45" spans="1:11" ht="30" customHeight="1" x14ac:dyDescent="0.65">
      <c r="A45" s="16"/>
      <c r="B45" s="16"/>
      <c r="C45" s="74" t="s">
        <v>16</v>
      </c>
      <c r="D45" s="16"/>
      <c r="E45" s="16"/>
      <c r="F45" s="16"/>
      <c r="G45" s="16"/>
      <c r="H45" s="16"/>
      <c r="I45" s="16"/>
      <c r="J45" s="16"/>
      <c r="K45" s="16"/>
    </row>
    <row r="46" spans="1:11" ht="30" customHeight="1" x14ac:dyDescent="0.4">
      <c r="A46" s="16"/>
      <c r="B46" s="16"/>
      <c r="C46" s="75"/>
      <c r="D46" s="16"/>
      <c r="E46" s="16"/>
      <c r="F46" s="16"/>
      <c r="G46" s="16"/>
      <c r="H46" s="16"/>
      <c r="I46" s="16"/>
      <c r="J46" s="16"/>
      <c r="K46" s="16"/>
    </row>
    <row r="47" spans="1:11" ht="30" customHeight="1" x14ac:dyDescent="0.65">
      <c r="A47" s="16"/>
      <c r="B47" s="16"/>
      <c r="C47" s="76" t="s">
        <v>57</v>
      </c>
      <c r="D47" s="23" t="s">
        <v>85</v>
      </c>
      <c r="E47" s="16"/>
      <c r="F47" s="16"/>
      <c r="G47" s="16"/>
      <c r="H47" s="16"/>
      <c r="I47" s="16"/>
      <c r="J47" s="16"/>
      <c r="K47" s="16"/>
    </row>
    <row r="48" spans="1:11" ht="30" customHeight="1" x14ac:dyDescent="0.65">
      <c r="A48" s="16"/>
      <c r="B48" s="16"/>
      <c r="C48" s="76" t="s">
        <v>58</v>
      </c>
      <c r="D48" s="82">
        <v>56821562</v>
      </c>
      <c r="E48" s="16"/>
      <c r="F48" s="16"/>
      <c r="G48" s="16"/>
      <c r="H48" s="16"/>
      <c r="I48" s="16"/>
      <c r="J48" s="16"/>
      <c r="K48" s="16"/>
    </row>
    <row r="49" spans="1:11" ht="30" customHeight="1" x14ac:dyDescent="0.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 ht="30" customHeight="1" x14ac:dyDescent="0.5">
      <c r="A50" s="16"/>
      <c r="B50" s="16"/>
      <c r="C50" s="77"/>
      <c r="D50" s="78"/>
      <c r="E50" s="78"/>
      <c r="F50" s="16"/>
      <c r="G50" s="16"/>
      <c r="H50" s="16"/>
      <c r="I50" s="16"/>
      <c r="J50" s="16"/>
      <c r="K50" s="16"/>
    </row>
    <row r="51" spans="1:11" ht="30" customHeight="1" x14ac:dyDescent="0.65">
      <c r="A51" s="16"/>
      <c r="B51" s="16"/>
      <c r="D51" s="27"/>
      <c r="E51" s="27"/>
      <c r="F51" s="23"/>
      <c r="G51" s="23"/>
      <c r="H51" s="27"/>
      <c r="I51" s="23"/>
      <c r="J51" s="16"/>
      <c r="K51" s="16"/>
    </row>
    <row r="52" spans="1:11" ht="30" customHeight="1" x14ac:dyDescent="0.65">
      <c r="A52" s="16"/>
      <c r="B52" s="16"/>
      <c r="D52" s="27"/>
      <c r="E52" s="27"/>
      <c r="F52" s="23"/>
      <c r="G52" s="23"/>
      <c r="H52" s="23"/>
      <c r="I52" s="23"/>
      <c r="J52" s="16"/>
      <c r="K52" s="16"/>
    </row>
    <row r="53" spans="1:11" ht="30" customHeight="1" thickBot="1" x14ac:dyDescent="0.7">
      <c r="A53" s="16"/>
      <c r="B53" s="16"/>
      <c r="D53" s="27"/>
      <c r="E53" s="79" t="s">
        <v>60</v>
      </c>
      <c r="F53" s="84"/>
      <c r="G53" s="85"/>
      <c r="H53" s="85"/>
      <c r="I53" s="69"/>
      <c r="J53" s="16"/>
      <c r="K53" s="16"/>
    </row>
    <row r="54" spans="1:11" ht="30" customHeight="1" x14ac:dyDescent="0.65">
      <c r="A54" s="16"/>
      <c r="B54" s="16"/>
      <c r="D54" s="27"/>
      <c r="E54" s="23"/>
      <c r="F54" s="23"/>
      <c r="G54" s="23"/>
      <c r="H54" s="23"/>
      <c r="I54" s="23"/>
      <c r="J54" s="16"/>
      <c r="K54" s="16"/>
    </row>
    <row r="55" spans="1:11" ht="30" customHeight="1" x14ac:dyDescent="0.65">
      <c r="A55" s="16"/>
      <c r="B55" s="16"/>
      <c r="C55" s="23"/>
      <c r="D55" s="23"/>
      <c r="E55" s="23"/>
      <c r="F55" s="23"/>
      <c r="G55" s="23"/>
      <c r="H55" s="23"/>
      <c r="I55" s="23"/>
      <c r="J55" s="16"/>
      <c r="K55" s="16"/>
    </row>
    <row r="56" spans="1:11" ht="30" customHeight="1" x14ac:dyDescent="0.65">
      <c r="A56" s="16"/>
      <c r="B56" s="16"/>
      <c r="C56" s="23"/>
      <c r="D56" s="23"/>
      <c r="E56" s="23"/>
      <c r="F56" s="23"/>
      <c r="G56" s="23"/>
      <c r="H56" s="23"/>
      <c r="I56" s="23"/>
      <c r="J56" s="16"/>
      <c r="K56" s="16"/>
    </row>
    <row r="57" spans="1:11" ht="30" customHeight="1" x14ac:dyDescent="0.65">
      <c r="A57" s="16"/>
      <c r="B57" s="16"/>
      <c r="C57" s="23"/>
      <c r="D57" s="23"/>
      <c r="E57" s="23"/>
      <c r="F57" s="23"/>
      <c r="G57" s="23"/>
      <c r="H57" s="23"/>
      <c r="I57" s="23"/>
      <c r="J57" s="16"/>
      <c r="K57" s="16"/>
    </row>
    <row r="58" spans="1:11" ht="30" customHeight="1" x14ac:dyDescent="0.65">
      <c r="A58" s="16"/>
      <c r="B58" s="16"/>
      <c r="C58" s="79" t="s">
        <v>19</v>
      </c>
      <c r="D58" s="23"/>
      <c r="E58" s="23"/>
      <c r="F58" s="23"/>
      <c r="G58" s="23"/>
      <c r="H58" s="23"/>
      <c r="I58" s="23"/>
      <c r="J58" s="16"/>
      <c r="K58" s="16"/>
    </row>
    <row r="59" spans="1:11" ht="30" customHeight="1" x14ac:dyDescent="0.65">
      <c r="A59" s="16"/>
      <c r="B59" s="16"/>
      <c r="C59" s="23"/>
      <c r="D59" s="23"/>
      <c r="E59" s="23"/>
      <c r="F59" s="23"/>
      <c r="G59" s="23"/>
      <c r="H59" s="23"/>
      <c r="I59" s="23"/>
      <c r="J59" s="16"/>
      <c r="K59" s="16"/>
    </row>
    <row r="60" spans="1:11" ht="30" customHeight="1" x14ac:dyDescent="0.65">
      <c r="A60" s="16"/>
      <c r="B60" s="16"/>
      <c r="C60" s="23"/>
      <c r="D60" s="23"/>
      <c r="E60" s="23"/>
      <c r="F60" s="23"/>
      <c r="G60" s="23"/>
      <c r="H60" s="23"/>
      <c r="I60" s="23"/>
      <c r="J60" s="16"/>
      <c r="K60" s="16"/>
    </row>
    <row r="61" spans="1:11" ht="30" customHeight="1" x14ac:dyDescent="0.65">
      <c r="A61" s="16"/>
      <c r="B61" s="16"/>
      <c r="C61" s="80" t="s">
        <v>88</v>
      </c>
      <c r="D61" s="23"/>
      <c r="E61" s="23"/>
      <c r="F61" s="23"/>
      <c r="G61" s="23"/>
      <c r="H61" s="23"/>
      <c r="I61" s="23"/>
      <c r="J61" s="16"/>
      <c r="K61" s="16"/>
    </row>
    <row r="62" spans="1:11" ht="30" customHeight="1" x14ac:dyDescent="0.65">
      <c r="A62" s="16"/>
      <c r="B62" s="16"/>
      <c r="C62" s="81" t="s">
        <v>38</v>
      </c>
      <c r="D62" s="23"/>
      <c r="E62" s="23"/>
      <c r="F62" s="23"/>
      <c r="G62" s="23"/>
      <c r="H62" s="23"/>
      <c r="I62" s="23"/>
      <c r="J62" s="16"/>
      <c r="K62" s="16"/>
    </row>
    <row r="63" spans="1:11" ht="30" customHeight="1" x14ac:dyDescent="0.65">
      <c r="A63" s="16"/>
      <c r="B63" s="16"/>
      <c r="C63" s="23"/>
      <c r="D63" s="23"/>
      <c r="E63" s="23"/>
      <c r="F63" s="23"/>
      <c r="G63" s="23"/>
      <c r="H63" s="23"/>
      <c r="I63" s="23"/>
      <c r="J63" s="16"/>
      <c r="K63" s="16"/>
    </row>
    <row r="64" spans="1:11" ht="25.5" customHeight="1" x14ac:dyDescent="0.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 ht="25.5" customHeight="1" x14ac:dyDescent="0.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 ht="25.5" customHeight="1" x14ac:dyDescent="0.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 ht="25.5" customHeight="1" x14ac:dyDescent="0.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 ht="25.5" customHeight="1" x14ac:dyDescent="0.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 ht="25.5" customHeight="1" x14ac:dyDescent="0.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 ht="25.5" customHeight="1" x14ac:dyDescent="0.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 ht="25.5" customHeight="1" x14ac:dyDescent="0.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 ht="25.5" customHeight="1" x14ac:dyDescent="0.4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 ht="25.5" customHeight="1" x14ac:dyDescent="0.4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 ht="25.5" customHeight="1" x14ac:dyDescent="0.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 ht="25.5" customHeight="1" x14ac:dyDescent="0.4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 ht="25.5" customHeight="1" x14ac:dyDescent="0.4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 ht="25.5" customHeight="1" x14ac:dyDescent="0.4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 ht="25.5" customHeight="1" x14ac:dyDescent="0.4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 ht="25.5" customHeight="1" x14ac:dyDescent="0.4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 ht="25.5" customHeight="1" x14ac:dyDescent="0.4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 ht="25.5" customHeight="1" x14ac:dyDescent="0.4">
      <c r="A81" s="16"/>
      <c r="B81" s="16"/>
      <c r="D81" s="16"/>
      <c r="E81" s="16"/>
      <c r="F81" s="16"/>
      <c r="G81" s="16"/>
      <c r="H81" s="16"/>
      <c r="I81" s="16"/>
      <c r="J81" s="16"/>
      <c r="K81" s="16"/>
    </row>
    <row r="82" spans="1:11" ht="25.5" customHeight="1" x14ac:dyDescent="0.4">
      <c r="A82" s="16"/>
      <c r="B82" s="16"/>
      <c r="D82" s="16"/>
      <c r="E82" s="16"/>
      <c r="F82" s="16"/>
      <c r="G82" s="16"/>
      <c r="H82" s="16"/>
      <c r="I82" s="16"/>
      <c r="J82" s="16"/>
      <c r="K82" s="16"/>
    </row>
    <row r="83" spans="1:11" ht="25.5" customHeight="1" x14ac:dyDescent="0.4">
      <c r="A83" s="16"/>
      <c r="B83" s="16"/>
      <c r="D83" s="16"/>
      <c r="E83" s="16"/>
      <c r="F83" s="16"/>
      <c r="G83" s="16"/>
      <c r="H83" s="16"/>
      <c r="I83" s="16"/>
      <c r="J83" s="16"/>
      <c r="K83" s="16"/>
    </row>
    <row r="84" spans="1:11" ht="25.5" customHeight="1" x14ac:dyDescent="0.4">
      <c r="A84" s="16"/>
      <c r="B84" s="16"/>
      <c r="D84" s="16"/>
      <c r="E84" s="16"/>
      <c r="F84" s="16"/>
      <c r="G84" s="16"/>
      <c r="H84" s="16"/>
      <c r="I84" s="16"/>
      <c r="J84" s="16"/>
      <c r="K84" s="16"/>
    </row>
    <row r="85" spans="1:11" ht="25.5" customHeight="1" x14ac:dyDescent="0.4">
      <c r="A85" s="16"/>
      <c r="B85" s="16"/>
      <c r="D85" s="16"/>
      <c r="E85" s="16"/>
      <c r="F85" s="16"/>
      <c r="G85" s="16"/>
      <c r="H85" s="16"/>
      <c r="I85" s="16"/>
      <c r="J85" s="16"/>
      <c r="K85" s="16"/>
    </row>
    <row r="86" spans="1:11" ht="25.5" customHeight="1" x14ac:dyDescent="0.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25.5" customHeight="1" x14ac:dyDescent="0.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 ht="25.5" customHeight="1" x14ac:dyDescent="0.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 ht="25.5" customHeight="1" x14ac:dyDescent="0.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 ht="25.5" customHeight="1" x14ac:dyDescent="0.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 ht="25.5" customHeight="1" x14ac:dyDescent="0.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 ht="25.5" customHeight="1" x14ac:dyDescent="0.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 ht="25.5" customHeight="1" x14ac:dyDescent="0.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 ht="25.5" customHeight="1" x14ac:dyDescent="0.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 ht="25.5" customHeight="1" x14ac:dyDescent="0.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 ht="25.5" customHeight="1" x14ac:dyDescent="0.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 ht="25.5" customHeight="1" x14ac:dyDescent="0.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</sheetData>
  <dataConsolidate/>
  <mergeCells count="23">
    <mergeCell ref="I16:I18"/>
    <mergeCell ref="C19:C21"/>
    <mergeCell ref="D19:D21"/>
    <mergeCell ref="E19:E21"/>
    <mergeCell ref="D2:E2"/>
    <mergeCell ref="F19:F21"/>
    <mergeCell ref="H19:H21"/>
    <mergeCell ref="I19:I21"/>
    <mergeCell ref="C5:H5"/>
    <mergeCell ref="C11:D11"/>
    <mergeCell ref="C12:H13"/>
    <mergeCell ref="G40:H40"/>
    <mergeCell ref="G36:H36"/>
    <mergeCell ref="G37:H37"/>
    <mergeCell ref="G39:H39"/>
    <mergeCell ref="C16:C18"/>
    <mergeCell ref="D16:D18"/>
    <mergeCell ref="E16:E18"/>
    <mergeCell ref="F16:F18"/>
    <mergeCell ref="H16:H18"/>
    <mergeCell ref="G38:H38"/>
    <mergeCell ref="G16:G18"/>
    <mergeCell ref="G19:G21"/>
  </mergeCells>
  <printOptions horizontalCentered="1"/>
  <pageMargins left="0" right="0" top="0.59055118110236227" bottom="0" header="0" footer="0"/>
  <pageSetup scale="31" fitToHeight="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ErrorMessage="1" xr:uid="{3465DC30-B138-4081-AAF9-5A9AB425B3CA}">
          <x14:formula1>
            <xm:f>'Datos '!$E$2:$E$6</xm:f>
          </x14:formula1>
          <xm:sqref>D19</xm:sqref>
        </x14:dataValidation>
        <x14:dataValidation type="list" allowBlank="1" showErrorMessage="1" xr:uid="{09DF2738-CD3B-429B-A0A9-88C27E4FBED1}">
          <x14:formula1>
            <xm:f>'Datos '!$D$2:$D$8</xm:f>
          </x14:formula1>
          <xm:sqref>E26:E32</xm:sqref>
        </x14:dataValidation>
        <x14:dataValidation type="list" allowBlank="1" showErrorMessage="1" xr:uid="{9DEDC963-C6CA-4502-8C5B-C1A79E104FC9}">
          <x14:formula1>
            <xm:f>'Datos '!$G$2:$G$11</xm:f>
          </x14:formula1>
          <xm:sqref>D25:D26</xm:sqref>
        </x14:dataValidation>
        <x14:dataValidation type="list" allowBlank="1" showErrorMessage="1" xr:uid="{6EE089B9-E682-4F06-8F5B-7388E665C672}">
          <x14:formula1>
            <xm:f>'Datos '!$C$2:$C$14</xm:f>
          </x14:formula1>
          <xm:sqref>C25:C32</xm:sqref>
        </x14:dataValidation>
        <x14:dataValidation type="list" allowBlank="1" showErrorMessage="1" xr:uid="{DC76387B-61B6-4F83-97EB-F201B3CE02A2}">
          <x14:formula1>
            <xm:f>'Datos '!$D$2:$D$39</xm:f>
          </x14:formula1>
          <xm:sqref>E37 E33</xm:sqref>
        </x14:dataValidation>
        <x14:dataValidation type="list" allowBlank="1" showErrorMessage="1" xr:uid="{871F52BB-AEEB-444D-935F-1EFC2E618696}">
          <x14:formula1>
            <xm:f>'Datos '!$G$4:$G$11</xm:f>
          </x14:formula1>
          <xm:sqref>D37 D27:D33</xm:sqref>
        </x14:dataValidation>
        <x14:dataValidation type="list" allowBlank="1" showInputMessage="1" showErrorMessage="1" xr:uid="{1B2C7B47-E29D-4669-ACC8-6F64299F0292}">
          <x14:formula1>
            <xm:f>'Datos '!$F$1:$F$12</xm:f>
          </x14:formula1>
          <xm:sqref>E19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2D18-46DA-493C-8A70-797AE66049ED}">
  <sheetPr codeName="Hoja4"/>
  <dimension ref="B1:L9"/>
  <sheetViews>
    <sheetView workbookViewId="0">
      <selection activeCell="J12" sqref="J12"/>
    </sheetView>
  </sheetViews>
  <sheetFormatPr baseColWidth="10" defaultColWidth="10.59765625" defaultRowHeight="19.5" x14ac:dyDescent="0.4"/>
  <cols>
    <col min="1" max="4" width="10.59765625" style="4"/>
    <col min="5" max="5" width="13.09765625" style="4" bestFit="1" customWidth="1"/>
    <col min="6" max="16384" width="10.59765625" style="4"/>
  </cols>
  <sheetData>
    <row r="1" spans="2:12" x14ac:dyDescent="0.4">
      <c r="C1" s="117" t="s">
        <v>73</v>
      </c>
      <c r="D1" s="117"/>
      <c r="E1" s="117"/>
      <c r="F1" s="117"/>
      <c r="G1" s="117"/>
      <c r="K1" s="5" t="s">
        <v>81</v>
      </c>
      <c r="L1" s="14">
        <v>0.90090000000000003</v>
      </c>
    </row>
    <row r="2" spans="2:12" x14ac:dyDescent="0.4">
      <c r="K2" s="5" t="s">
        <v>82</v>
      </c>
      <c r="L2" s="4">
        <f>L1/52</f>
        <v>1.7325E-2</v>
      </c>
    </row>
    <row r="3" spans="2:12" x14ac:dyDescent="0.4">
      <c r="B3" s="5" t="s">
        <v>39</v>
      </c>
      <c r="C3" s="5" t="s">
        <v>68</v>
      </c>
      <c r="D3" s="5" t="s">
        <v>40</v>
      </c>
      <c r="E3" s="5" t="s">
        <v>69</v>
      </c>
      <c r="F3" s="5" t="s">
        <v>70</v>
      </c>
      <c r="G3" s="5" t="s">
        <v>67</v>
      </c>
      <c r="H3" s="5" t="s">
        <v>59</v>
      </c>
    </row>
    <row r="4" spans="2:12" x14ac:dyDescent="0.4">
      <c r="B4" s="6" t="s">
        <v>78</v>
      </c>
      <c r="C4" s="118">
        <v>45000</v>
      </c>
      <c r="D4" s="118">
        <v>38000</v>
      </c>
      <c r="E4" s="119">
        <f>C4-D4</f>
        <v>7000</v>
      </c>
      <c r="F4" s="13">
        <f>PMT($L$2,26,-E4)</f>
        <v>336.69224740552784</v>
      </c>
      <c r="G4" s="13">
        <f>F4*4</f>
        <v>1346.7689896221113</v>
      </c>
      <c r="H4" s="13">
        <f>F4*26</f>
        <v>8753.9984325437235</v>
      </c>
      <c r="I4" s="7"/>
      <c r="J4" s="7"/>
    </row>
    <row r="5" spans="2:12" x14ac:dyDescent="0.4">
      <c r="B5" s="6" t="s">
        <v>45</v>
      </c>
      <c r="C5" s="118"/>
      <c r="D5" s="118"/>
      <c r="E5" s="119"/>
      <c r="F5" s="13">
        <f>PMT($L$2,52,-E4)</f>
        <v>205.32461500554356</v>
      </c>
      <c r="G5" s="13">
        <f t="shared" ref="G5:G6" si="0">F5*4</f>
        <v>821.29846002217425</v>
      </c>
      <c r="H5" s="13">
        <f>F5*52+D5</f>
        <v>10676.879980288266</v>
      </c>
    </row>
    <row r="6" spans="2:12" x14ac:dyDescent="0.4">
      <c r="B6" s="6" t="s">
        <v>79</v>
      </c>
      <c r="C6" s="118"/>
      <c r="D6" s="118"/>
      <c r="E6" s="119"/>
      <c r="F6" s="13">
        <f>PMT($L$2,78,-E4)</f>
        <v>164.30788626007686</v>
      </c>
      <c r="G6" s="13">
        <f t="shared" si="0"/>
        <v>657.23154504030742</v>
      </c>
      <c r="H6" s="13">
        <f>F6*78+D6</f>
        <v>12816.015128285995</v>
      </c>
    </row>
    <row r="7" spans="2:12" x14ac:dyDescent="0.4">
      <c r="B7" s="6" t="s">
        <v>46</v>
      </c>
      <c r="C7" s="118"/>
      <c r="D7" s="118"/>
      <c r="E7" s="119"/>
      <c r="F7" s="13">
        <f>PMT($L$2,104,-E4)</f>
        <v>145.68746334308841</v>
      </c>
      <c r="G7" s="13">
        <f>F7*4</f>
        <v>582.74985337235364</v>
      </c>
      <c r="H7" s="13">
        <f>F7*78+D7</f>
        <v>11363.622140760895</v>
      </c>
    </row>
    <row r="8" spans="2:12" x14ac:dyDescent="0.4">
      <c r="F8" s="7"/>
    </row>
    <row r="9" spans="2:12" x14ac:dyDescent="0.4">
      <c r="F9" s="8"/>
      <c r="G9" s="7"/>
    </row>
  </sheetData>
  <mergeCells count="4">
    <mergeCell ref="C1:G1"/>
    <mergeCell ref="C4:C7"/>
    <mergeCell ref="D4:D7"/>
    <mergeCell ref="E4:E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2560-0D91-496E-93C9-242B4EE278AC}">
  <sheetPr codeName="Hoja5"/>
  <dimension ref="A1:J12"/>
  <sheetViews>
    <sheetView workbookViewId="0">
      <selection activeCell="B2" sqref="B2:C3"/>
    </sheetView>
  </sheetViews>
  <sheetFormatPr baseColWidth="10" defaultRowHeight="19.5" x14ac:dyDescent="0.4"/>
  <sheetData>
    <row r="1" spans="1:10" x14ac:dyDescent="0.4">
      <c r="A1" s="5" t="s">
        <v>39</v>
      </c>
      <c r="B1" s="5" t="s">
        <v>68</v>
      </c>
      <c r="C1" s="5" t="s">
        <v>40</v>
      </c>
      <c r="D1" s="5" t="s">
        <v>69</v>
      </c>
      <c r="E1" s="5" t="s">
        <v>70</v>
      </c>
      <c r="F1" s="5" t="s">
        <v>67</v>
      </c>
      <c r="G1" s="5" t="s">
        <v>59</v>
      </c>
      <c r="H1" s="4"/>
      <c r="I1" s="5" t="s">
        <v>81</v>
      </c>
      <c r="J1" s="11">
        <v>0.60009999999999997</v>
      </c>
    </row>
    <row r="2" spans="1:10" x14ac:dyDescent="0.4">
      <c r="A2" s="6" t="s">
        <v>71</v>
      </c>
      <c r="B2" s="118"/>
      <c r="C2" s="120"/>
      <c r="D2" s="121">
        <f>B2-C2</f>
        <v>0</v>
      </c>
      <c r="E2" s="12">
        <f>PMT($J$2, 52, - D2)</f>
        <v>0</v>
      </c>
      <c r="F2" s="13">
        <f>E2*4</f>
        <v>0</v>
      </c>
      <c r="G2" s="13">
        <f>E2*52</f>
        <v>0</v>
      </c>
      <c r="H2" s="4"/>
      <c r="I2" s="5" t="s">
        <v>82</v>
      </c>
      <c r="J2" s="4">
        <f>J1/52</f>
        <v>1.1540384615384616E-2</v>
      </c>
    </row>
    <row r="3" spans="1:10" x14ac:dyDescent="0.4">
      <c r="A3" s="6" t="s">
        <v>72</v>
      </c>
      <c r="B3" s="118"/>
      <c r="C3" s="120"/>
      <c r="D3" s="122"/>
      <c r="E3" s="12">
        <f>PMT($J$2, 104, - D2)</f>
        <v>0</v>
      </c>
      <c r="F3" s="13">
        <f>E3*4</f>
        <v>0</v>
      </c>
      <c r="G3" s="13">
        <f>E3*104</f>
        <v>0</v>
      </c>
      <c r="H3" s="4"/>
      <c r="I3" s="4"/>
      <c r="J3" s="4"/>
    </row>
    <row r="7" spans="1:10" x14ac:dyDescent="0.4">
      <c r="D7" s="9"/>
    </row>
    <row r="12" spans="1:10" x14ac:dyDescent="0.4">
      <c r="H12" s="10"/>
    </row>
  </sheetData>
  <sheetProtection algorithmName="SHA-512" hashValue="RwmFGllSxraVYDor98ttIZOS9eN3JUea35O4U5ibpUyiBSrNCSiqeJDbXZ2f/ds+CTqi6mHbta2cYGutNJdCTw==" saltValue="4gwdn6Z7roGgoYQSLFxthg==" spinCount="100000" sheet="1" objects="1" scenarios="1"/>
  <mergeCells count="3">
    <mergeCell ref="B2:B3"/>
    <mergeCell ref="C2:C3"/>
    <mergeCell ref="D2:D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B1:G101"/>
  <sheetViews>
    <sheetView topLeftCell="B1" workbookViewId="0">
      <selection activeCell="D13" sqref="D13"/>
    </sheetView>
  </sheetViews>
  <sheetFormatPr baseColWidth="10" defaultColWidth="14.296875" defaultRowHeight="15" customHeight="1" x14ac:dyDescent="0.4"/>
  <cols>
    <col min="1" max="1" width="10.69921875" customWidth="1"/>
    <col min="2" max="2" width="17.69921875" bestFit="1" customWidth="1"/>
    <col min="3" max="3" width="10.69921875" customWidth="1"/>
    <col min="4" max="4" width="54" customWidth="1"/>
    <col min="5" max="5" width="17.8984375" customWidth="1"/>
    <col min="6" max="6" width="10.296875" bestFit="1" customWidth="1"/>
    <col min="7" max="10" width="10.69921875" customWidth="1"/>
  </cols>
  <sheetData>
    <row r="1" spans="2:7" ht="15.75" customHeight="1" x14ac:dyDescent="0.4">
      <c r="B1" t="s">
        <v>22</v>
      </c>
      <c r="C1" t="s">
        <v>23</v>
      </c>
      <c r="D1" t="s">
        <v>24</v>
      </c>
      <c r="E1" t="s">
        <v>25</v>
      </c>
      <c r="F1" t="s">
        <v>39</v>
      </c>
      <c r="G1" t="s">
        <v>48</v>
      </c>
    </row>
    <row r="2" spans="2:7" ht="15.75" customHeight="1" x14ac:dyDescent="0.4">
      <c r="C2">
        <v>1</v>
      </c>
      <c r="D2" t="s">
        <v>27</v>
      </c>
      <c r="E2" t="s">
        <v>26</v>
      </c>
      <c r="F2" t="s">
        <v>41</v>
      </c>
      <c r="G2" t="s">
        <v>49</v>
      </c>
    </row>
    <row r="3" spans="2:7" ht="15.75" customHeight="1" x14ac:dyDescent="0.4">
      <c r="C3">
        <v>2</v>
      </c>
      <c r="D3" t="s">
        <v>12</v>
      </c>
      <c r="E3" t="s">
        <v>28</v>
      </c>
      <c r="F3" t="s">
        <v>42</v>
      </c>
      <c r="G3" t="s">
        <v>51</v>
      </c>
    </row>
    <row r="4" spans="2:7" ht="15.75" customHeight="1" x14ac:dyDescent="0.4">
      <c r="C4">
        <v>3</v>
      </c>
      <c r="D4" t="s">
        <v>35</v>
      </c>
      <c r="E4" t="s">
        <v>31</v>
      </c>
      <c r="F4" t="s">
        <v>43</v>
      </c>
      <c r="G4" t="s">
        <v>52</v>
      </c>
    </row>
    <row r="5" spans="2:7" ht="15.75" customHeight="1" x14ac:dyDescent="0.4">
      <c r="C5">
        <v>4</v>
      </c>
      <c r="D5" t="s">
        <v>36</v>
      </c>
      <c r="E5" t="s">
        <v>32</v>
      </c>
      <c r="F5" t="s">
        <v>44</v>
      </c>
      <c r="G5" t="s">
        <v>33</v>
      </c>
    </row>
    <row r="6" spans="2:7" ht="15.75" customHeight="1" x14ac:dyDescent="0.4">
      <c r="C6">
        <v>5</v>
      </c>
      <c r="D6" t="s">
        <v>37</v>
      </c>
      <c r="E6" t="s">
        <v>29</v>
      </c>
      <c r="F6" t="s">
        <v>76</v>
      </c>
      <c r="G6" t="s">
        <v>53</v>
      </c>
    </row>
    <row r="7" spans="2:7" ht="15.75" customHeight="1" x14ac:dyDescent="0.4">
      <c r="C7">
        <v>6</v>
      </c>
      <c r="D7" t="s">
        <v>30</v>
      </c>
      <c r="E7" t="s">
        <v>80</v>
      </c>
      <c r="F7" t="s">
        <v>77</v>
      </c>
      <c r="G7" t="s">
        <v>34</v>
      </c>
    </row>
    <row r="8" spans="2:7" ht="15.75" customHeight="1" x14ac:dyDescent="0.4">
      <c r="C8">
        <v>7</v>
      </c>
      <c r="D8" t="s">
        <v>11</v>
      </c>
      <c r="F8" t="s">
        <v>78</v>
      </c>
      <c r="G8" t="s">
        <v>50</v>
      </c>
    </row>
    <row r="9" spans="2:7" ht="15.75" customHeight="1" x14ac:dyDescent="0.4">
      <c r="C9">
        <v>8</v>
      </c>
      <c r="F9" t="s">
        <v>45</v>
      </c>
      <c r="G9" t="s">
        <v>54</v>
      </c>
    </row>
    <row r="10" spans="2:7" ht="15.75" customHeight="1" x14ac:dyDescent="0.4">
      <c r="C10">
        <v>9</v>
      </c>
      <c r="F10" t="s">
        <v>79</v>
      </c>
      <c r="G10" t="s">
        <v>56</v>
      </c>
    </row>
    <row r="11" spans="2:7" ht="15.75" customHeight="1" x14ac:dyDescent="0.4">
      <c r="C11">
        <v>10</v>
      </c>
      <c r="F11" t="s">
        <v>46</v>
      </c>
      <c r="G11" t="s">
        <v>55</v>
      </c>
    </row>
    <row r="12" spans="2:7" ht="15.75" customHeight="1" x14ac:dyDescent="0.4">
      <c r="C12">
        <v>11</v>
      </c>
      <c r="F12" t="s">
        <v>47</v>
      </c>
    </row>
    <row r="13" spans="2:7" ht="15.75" customHeight="1" x14ac:dyDescent="0.4">
      <c r="C13">
        <v>12</v>
      </c>
    </row>
    <row r="14" spans="2:7" ht="15.75" customHeight="1" x14ac:dyDescent="0.4">
      <c r="C14">
        <v>13</v>
      </c>
    </row>
    <row r="15" spans="2:7" ht="15.75" customHeight="1" x14ac:dyDescent="0.4"/>
    <row r="16" spans="2:7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spans="4:4" ht="15.75" customHeight="1" x14ac:dyDescent="0.4"/>
    <row r="34" spans="4:4" ht="15.75" customHeight="1" x14ac:dyDescent="0.4"/>
    <row r="35" spans="4:4" ht="15.75" customHeight="1" x14ac:dyDescent="0.4">
      <c r="D35" s="3"/>
    </row>
    <row r="36" spans="4:4" ht="15.75" customHeight="1" x14ac:dyDescent="0.4"/>
    <row r="37" spans="4:4" ht="15.75" customHeight="1" x14ac:dyDescent="0.4"/>
    <row r="38" spans="4:4" ht="15.75" customHeight="1" x14ac:dyDescent="0.4"/>
    <row r="39" spans="4:4" ht="15.75" customHeight="1" x14ac:dyDescent="0.4"/>
    <row r="40" spans="4:4" ht="15.75" customHeight="1" x14ac:dyDescent="0.4"/>
    <row r="41" spans="4:4" ht="15.75" customHeight="1" x14ac:dyDescent="0.4"/>
    <row r="42" spans="4:4" ht="15.75" customHeight="1" x14ac:dyDescent="0.4"/>
    <row r="43" spans="4:4" ht="15.75" customHeight="1" x14ac:dyDescent="0.4"/>
    <row r="44" spans="4:4" ht="15.75" customHeight="1" x14ac:dyDescent="0.4"/>
    <row r="45" spans="4:4" ht="15.75" customHeight="1" x14ac:dyDescent="0.4"/>
    <row r="46" spans="4:4" ht="15.75" customHeight="1" x14ac:dyDescent="0.4"/>
    <row r="47" spans="4:4" ht="15.75" customHeight="1" x14ac:dyDescent="0.4"/>
    <row r="48" spans="4:4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Menu</vt:lpstr>
      <vt:lpstr>Cotización</vt:lpstr>
      <vt:lpstr>Simulador VC</vt:lpstr>
      <vt:lpstr>Simulador VV</vt:lpstr>
      <vt:lpstr>Datos </vt:lpstr>
      <vt:lpstr>Cotización!Área_de_impresión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CallCenter-Ventas03</dc:creator>
  <cp:lastModifiedBy>Agente de Calidad</cp:lastModifiedBy>
  <cp:lastPrinted>2026-04-01T22:59:11Z</cp:lastPrinted>
  <dcterms:created xsi:type="dcterms:W3CDTF">2018-08-22T05:04:47Z</dcterms:created>
  <dcterms:modified xsi:type="dcterms:W3CDTF">2026-04-01T23:17:46Z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